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77\ServerHard\PROJECT\LG\CDUA-Y472A(김완종)\2025_SOCKET\H25-128-1_Miltestone_Home_IOT_Doorbell_2nd_CM_BOT_Board_V1.0\"/>
    </mc:Choice>
  </mc:AlternateContent>
  <xr:revisionPtr revIDLastSave="0" documentId="13_ncr:1_{97901F99-BB3E-4E35-88C2-466502D27050}" xr6:coauthVersionLast="47" xr6:coauthVersionMax="47" xr10:uidLastSave="{00000000-0000-0000-0000-000000000000}"/>
  <bookViews>
    <workbookView xWindow="28680" yWindow="-120" windowWidth="29040" windowHeight="15720" xr2:uid="{F1CE6910-8EAF-44E5-A29B-A988043F1E21}"/>
  </bookViews>
  <sheets>
    <sheet name="H25-128-1_MILTESTONE_HOME_IOT_D" sheetId="1" r:id="rId1"/>
    <sheet name="TOP" sheetId="2" r:id="rId2"/>
    <sheet name="BOTTO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11" i="1"/>
  <c r="A12" i="1"/>
  <c r="A13" i="1"/>
  <c r="A14" i="1"/>
  <c r="A15" i="1"/>
  <c r="A16" i="1"/>
  <c r="E9" i="1"/>
  <c r="E10" i="1"/>
  <c r="E11" i="1"/>
  <c r="E12" i="1"/>
  <c r="E16" i="1"/>
  <c r="E17" i="1"/>
  <c r="A9" i="1"/>
  <c r="A17" i="1" s="1"/>
  <c r="A18" i="1" s="1"/>
</calcChain>
</file>

<file path=xl/sharedStrings.xml><?xml version="1.0" encoding="utf-8"?>
<sst xmlns="http://schemas.openxmlformats.org/spreadsheetml/2006/main" count="292" uniqueCount="132">
  <si>
    <t>BD1</t>
  </si>
  <si>
    <t>BLM21BB050SN1D_OPEN</t>
  </si>
  <si>
    <t>C30</t>
  </si>
  <si>
    <t>C0.1UF_16V_1005_OPEN</t>
  </si>
  <si>
    <t>C31,C33,C35,C37</t>
  </si>
  <si>
    <t>C0.1UF_16V_1005</t>
  </si>
  <si>
    <t>C32,C34,C36</t>
  </si>
  <si>
    <t>C10UF_1005</t>
  </si>
  <si>
    <t>C38</t>
  </si>
  <si>
    <t>C1UF_1005</t>
  </si>
  <si>
    <t>D1,D2,D3,D4,D5,D6,D7,D8,D9,D10,D11,D12,D13,D14,D15,D16,D20</t>
  </si>
  <si>
    <t>TPD2EUSB30DRTR</t>
  </si>
  <si>
    <t>JCM1</t>
  </si>
  <si>
    <t>20790-060E-02</t>
  </si>
  <si>
    <t>J1</t>
  </si>
  <si>
    <t>DOORBELL_2ND_BOT_PAD</t>
  </si>
  <si>
    <t>J2,J3</t>
  </si>
  <si>
    <t>DF40GL-44DP-0.4V_58</t>
  </si>
  <si>
    <t>R1,R2,R3,R4,R5,R6,R7,R8,R9,R10</t>
  </si>
  <si>
    <t>R10K_1005_OPEN</t>
  </si>
  <si>
    <t>TP_GND1,TP_VD3P0,TP_VD3P3,TP_SPOT_LEDC,TP_SPOT_LEDA,TP_SPI_SSN,TP_SPI_SCK,TP_SPI_MOSI,TP_SPI_MISO,TP_SHUTTER_PH,TP_SDA,TP_SCL,TP_RESET,TP_MCLK,TP_IOVDD</t>
  </si>
  <si>
    <t>TP/DIP</t>
  </si>
  <si>
    <t>TP-1.1MM</t>
  </si>
  <si>
    <t>U1</t>
  </si>
  <si>
    <t>W25Q16JVSSIQ_OPEN</t>
  </si>
  <si>
    <t>C1UF_16V_1005</t>
    <phoneticPr fontId="18" type="noConversion"/>
  </si>
  <si>
    <t>C10UF_10V_1005</t>
    <phoneticPr fontId="18" type="noConversion"/>
  </si>
  <si>
    <t>FPD2EUSB30DRTR</t>
    <phoneticPr fontId="18" type="noConversion"/>
  </si>
  <si>
    <t>Artwork 담당자</t>
  </si>
  <si>
    <t>생산 담당자</t>
  </si>
  <si>
    <t>PCB</t>
  </si>
  <si>
    <t>메탈마스크</t>
  </si>
  <si>
    <t>입고 요청 일자</t>
  </si>
  <si>
    <t>비고</t>
  </si>
  <si>
    <t>입고일자</t>
  </si>
  <si>
    <t>신/재</t>
  </si>
  <si>
    <t>입고 일자</t>
  </si>
  <si>
    <t>품번</t>
  </si>
  <si>
    <t>-</t>
  </si>
  <si>
    <t>번호</t>
  </si>
  <si>
    <t>종류</t>
  </si>
  <si>
    <t>품명</t>
  </si>
  <si>
    <t>SET</t>
  </si>
  <si>
    <t>수량</t>
  </si>
  <si>
    <t>재고</t>
  </si>
  <si>
    <t>CHECK</t>
  </si>
  <si>
    <t>Ref</t>
  </si>
  <si>
    <t>대체 가능품목</t>
  </si>
  <si>
    <t>IC(SMD)</t>
    <phoneticPr fontId="18" type="noConversion"/>
  </si>
  <si>
    <t>DIODE(SMD)</t>
    <phoneticPr fontId="18" type="noConversion"/>
  </si>
  <si>
    <t>C/C(1005)</t>
    <phoneticPr fontId="18" type="noConversion"/>
  </si>
  <si>
    <t>저항(1005)</t>
    <phoneticPr fontId="18" type="noConversion"/>
  </si>
  <si>
    <t>BEAD(2012)</t>
    <phoneticPr fontId="18" type="noConversion"/>
  </si>
  <si>
    <t>CONNECTOR</t>
    <phoneticPr fontId="18" type="noConversion"/>
  </si>
  <si>
    <t>□양호 □불량</t>
  </si>
  <si>
    <t>2025.11월 미삽</t>
  </si>
  <si>
    <t>2025.11월 미삽</t>
    <phoneticPr fontId="18" type="noConversion"/>
  </si>
  <si>
    <t>PAD</t>
    <phoneticPr fontId="18" type="noConversion"/>
  </si>
  <si>
    <t>DF40GL-44DP-0.4V(58)</t>
    <phoneticPr fontId="18" type="noConversion"/>
  </si>
  <si>
    <t>RefDes</t>
  </si>
  <si>
    <t>Type</t>
  </si>
  <si>
    <t>Layer</t>
  </si>
  <si>
    <t>LocationX</t>
  </si>
  <si>
    <t>LocationY</t>
  </si>
  <si>
    <t>Rotation</t>
  </si>
  <si>
    <t>------------------------------</t>
  </si>
  <si>
    <t>----------</t>
  </si>
  <si>
    <t>--------</t>
  </si>
  <si>
    <t>DOORBELL_2ND_BOT</t>
  </si>
  <si>
    <t>Top</t>
  </si>
  <si>
    <t>DOORBELL_2ND_TOP</t>
  </si>
  <si>
    <t>TP_GND1</t>
  </si>
  <si>
    <t>C37</t>
  </si>
  <si>
    <t>TP_VD3P0</t>
  </si>
  <si>
    <t>TP_SPOT_LEDA</t>
  </si>
  <si>
    <t>TP_IOVDD</t>
  </si>
  <si>
    <t>TP_VD3P3</t>
  </si>
  <si>
    <t>TP_SCL</t>
  </si>
  <si>
    <t>TP_SPOT_LEDC</t>
  </si>
  <si>
    <t>TP_SDA</t>
  </si>
  <si>
    <t>TP_RESET</t>
  </si>
  <si>
    <t>R6</t>
  </si>
  <si>
    <t>R5</t>
  </si>
  <si>
    <t>R4</t>
  </si>
  <si>
    <t>R3</t>
  </si>
  <si>
    <t>D1</t>
  </si>
  <si>
    <t>TP_MCLK</t>
  </si>
  <si>
    <t>D2</t>
  </si>
  <si>
    <t>TP_SPI_SCK</t>
  </si>
  <si>
    <t>D3</t>
  </si>
  <si>
    <t>D4</t>
  </si>
  <si>
    <t>TP_SHUTTER_PH</t>
  </si>
  <si>
    <t>D5</t>
  </si>
  <si>
    <t>TP_SPI_MOSI</t>
  </si>
  <si>
    <t>TP_SPI_SSN</t>
  </si>
  <si>
    <t>TP_SPI_MISO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</si>
  <si>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</si>
  <si>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</si>
  <si>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</si>
  <si>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</si>
  <si>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</si>
  <si>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</si>
  <si>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</si>
  <si>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</si>
  <si>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</si>
  <si>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</si>
  <si>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R2</t>
  </si>
  <si>
    <t>C32</t>
  </si>
  <si>
    <t>C31</t>
  </si>
  <si>
    <t>C34</t>
  </si>
  <si>
    <t>C33</t>
  </si>
  <si>
    <t>J3</t>
  </si>
  <si>
    <t>Bottom</t>
  </si>
  <si>
    <t>D20</t>
  </si>
  <si>
    <t>D16</t>
  </si>
  <si>
    <t>J2</t>
  </si>
  <si>
    <t>R1</t>
  </si>
  <si>
    <t>R10</t>
  </si>
  <si>
    <t>R9</t>
  </si>
  <si>
    <t>R8</t>
  </si>
  <si>
    <t>R7</t>
  </si>
  <si>
    <t>C36</t>
  </si>
  <si>
    <t>C35</t>
  </si>
  <si>
    <t>IPEX_SUB_DPHY200707F</t>
  </si>
  <si>
    <t>DOORBELL_2ND_SUB</t>
  </si>
  <si>
    <t>나유성 과장</t>
    <phoneticPr fontId="18" type="noConversion"/>
  </si>
  <si>
    <t>이재형 과장</t>
    <phoneticPr fontId="18" type="noConversion"/>
  </si>
  <si>
    <t>신규</t>
    <phoneticPr fontId="18" type="noConversion"/>
  </si>
  <si>
    <t>H25-128-1_Miltestone_Home_IOT_Doorbell_2nd_CM_BOT_Board_V1.0 부품리스트</t>
    <phoneticPr fontId="18" type="noConversion"/>
  </si>
  <si>
    <t>H25-128-1_Miltestone_Home_IOT_Doorbell_2nd_CM_BOT_Board_V1.0</t>
    <phoneticPr fontId="18" type="noConversion"/>
  </si>
  <si>
    <t>** H25-128-1_Miltestone_Home_IOT_Doorbell_2nd_CM_BOT_Board_V1.0 **</t>
    <phoneticPr fontId="18" type="noConversion"/>
  </si>
  <si>
    <t>20790-060E-02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</si>
</sst>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m&quot;월&quot;\ d&quot;일&quot;;@"/>
  </numFmts>
  <fonts count="3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굴림체"/>
      <family val="3"/>
      <charset val="129"/>
    </font>
    <font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0"/>
      <name val="굴림체"/>
      <family val="3"/>
      <charset val="129"/>
    </font>
    <font>
      <sz val="11"/>
      <name val="굴림체"/>
      <family val="3"/>
      <charset val="129"/>
    </font>
    <font>
      <sz val="9"/>
      <color theme="1"/>
      <name val="굴림체"/>
      <family val="3"/>
      <charset val="129"/>
    </font>
    <font>
      <sz val="11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</cellStyleXfs>
  <cellXfs count="76">
    <xf numFmtId="0" fontId="0" fillId="0" borderId="0" xfId="0">
      <alignment vertical="center"/>
    </xf>
    <xf numFmtId="0" fontId="23" fillId="0" borderId="11" xfId="43" applyFont="1" applyBorder="1" applyAlignment="1">
      <alignment horizontal="center" vertical="center"/>
    </xf>
    <xf numFmtId="0" fontId="23" fillId="0" borderId="12" xfId="43" applyFont="1" applyBorder="1" applyAlignment="1">
      <alignment horizontal="center" vertical="center"/>
    </xf>
    <xf numFmtId="0" fontId="23" fillId="0" borderId="13" xfId="43" applyFont="1" applyBorder="1" applyAlignment="1">
      <alignment horizontal="center" vertical="center"/>
    </xf>
    <xf numFmtId="0" fontId="23" fillId="0" borderId="15" xfId="43" applyFont="1" applyBorder="1">
      <alignment vertical="center"/>
    </xf>
    <xf numFmtId="0" fontId="23" fillId="0" borderId="15" xfId="43" applyFont="1" applyBorder="1" applyAlignment="1">
      <alignment horizontal="center" vertical="center"/>
    </xf>
    <xf numFmtId="0" fontId="23" fillId="0" borderId="15" xfId="43" applyFont="1" applyBorder="1" applyAlignment="1">
      <alignment vertical="center" wrapText="1"/>
    </xf>
    <xf numFmtId="2" fontId="23" fillId="0" borderId="16" xfId="43" applyNumberFormat="1" applyFont="1" applyBorder="1">
      <alignment vertical="center"/>
    </xf>
    <xf numFmtId="0" fontId="23" fillId="0" borderId="0" xfId="0" applyFont="1">
      <alignment vertical="center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0" borderId="14" xfId="43" applyFont="1" applyBorder="1" applyAlignment="1">
      <alignment horizontal="center" vertical="center"/>
    </xf>
    <xf numFmtId="0" fontId="23" fillId="0" borderId="22" xfId="0" applyFont="1" applyBorder="1">
      <alignment vertical="center"/>
    </xf>
    <xf numFmtId="0" fontId="23" fillId="0" borderId="22" xfId="0" applyFont="1" applyBorder="1" applyAlignment="1">
      <alignment horizontal="center" vertical="center"/>
    </xf>
    <xf numFmtId="0" fontId="23" fillId="0" borderId="22" xfId="0" applyFont="1" applyBorder="1" applyAlignment="1">
      <alignment vertical="center" wrapText="1"/>
    </xf>
    <xf numFmtId="0" fontId="23" fillId="0" borderId="17" xfId="0" applyFont="1" applyBorder="1">
      <alignment vertical="center"/>
    </xf>
    <xf numFmtId="0" fontId="24" fillId="0" borderId="22" xfId="0" applyFont="1" applyBorder="1">
      <alignment vertical="center"/>
    </xf>
    <xf numFmtId="0" fontId="24" fillId="0" borderId="22" xfId="0" applyFont="1" applyBorder="1" applyAlignment="1">
      <alignment horizontal="center" vertical="center"/>
    </xf>
    <xf numFmtId="0" fontId="24" fillId="0" borderId="22" xfId="0" applyFont="1" applyBorder="1" applyAlignment="1">
      <alignment vertical="center" wrapText="1"/>
    </xf>
    <xf numFmtId="0" fontId="24" fillId="0" borderId="17" xfId="0" applyFont="1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19" fillId="0" borderId="32" xfId="0" applyFont="1" applyBorder="1">
      <alignment vertical="center"/>
    </xf>
    <xf numFmtId="0" fontId="0" fillId="0" borderId="33" xfId="0" applyBorder="1">
      <alignment vertical="center"/>
    </xf>
    <xf numFmtId="0" fontId="26" fillId="0" borderId="34" xfId="43" applyFont="1" applyBorder="1" applyAlignment="1">
      <alignment horizontal="center" vertical="center" wrapText="1"/>
    </xf>
    <xf numFmtId="0" fontId="26" fillId="0" borderId="12" xfId="43" applyFont="1" applyBorder="1" applyAlignment="1">
      <alignment horizontal="center" vertical="center"/>
    </xf>
    <xf numFmtId="0" fontId="26" fillId="0" borderId="35" xfId="43" applyFont="1" applyBorder="1" applyAlignment="1">
      <alignment horizontal="center" vertical="center" wrapText="1"/>
    </xf>
    <xf numFmtId="0" fontId="24" fillId="0" borderId="24" xfId="0" applyFont="1" applyBorder="1">
      <alignment vertical="center"/>
    </xf>
    <xf numFmtId="0" fontId="24" fillId="0" borderId="24" xfId="0" applyFont="1" applyBorder="1" applyAlignment="1">
      <alignment horizontal="center" vertical="center"/>
    </xf>
    <xf numFmtId="0" fontId="24" fillId="0" borderId="24" xfId="0" applyFont="1" applyBorder="1" applyAlignment="1">
      <alignment vertical="center" wrapText="1"/>
    </xf>
    <xf numFmtId="0" fontId="24" fillId="0" borderId="25" xfId="0" applyFont="1" applyBorder="1">
      <alignment vertical="center"/>
    </xf>
    <xf numFmtId="0" fontId="25" fillId="0" borderId="38" xfId="44" applyFont="1" applyBorder="1" applyAlignment="1">
      <alignment horizontal="center" vertical="center"/>
    </xf>
    <xf numFmtId="0" fontId="23" fillId="0" borderId="39" xfId="44" applyFont="1" applyBorder="1" applyAlignment="1">
      <alignment horizontal="center" vertical="center"/>
    </xf>
    <xf numFmtId="0" fontId="23" fillId="0" borderId="39" xfId="44" applyFont="1" applyBorder="1" applyAlignment="1">
      <alignment horizontal="center" vertical="center" wrapText="1"/>
    </xf>
    <xf numFmtId="176" fontId="25" fillId="0" borderId="40" xfId="44" applyNumberFormat="1" applyFont="1" applyBorder="1" applyAlignment="1">
      <alignment horizontal="center" vertical="center"/>
    </xf>
    <xf numFmtId="0" fontId="25" fillId="0" borderId="40" xfId="44" applyFont="1" applyBorder="1" applyAlignment="1">
      <alignment horizontal="center" vertical="center" wrapText="1"/>
    </xf>
    <xf numFmtId="0" fontId="23" fillId="0" borderId="12" xfId="43" applyFont="1" applyBorder="1" applyAlignment="1">
      <alignment horizontal="center" vertical="center" wrapText="1"/>
    </xf>
    <xf numFmtId="0" fontId="28" fillId="0" borderId="15" xfId="43" applyFont="1" applyBorder="1" applyAlignment="1">
      <alignment horizontal="center" vertical="center" wrapText="1"/>
    </xf>
    <xf numFmtId="0" fontId="23" fillId="0" borderId="0" xfId="43" applyFont="1" applyAlignment="1">
      <alignment horizontal="center" vertical="center"/>
    </xf>
    <xf numFmtId="0" fontId="23" fillId="0" borderId="0" xfId="43" applyFont="1">
      <alignment vertical="center"/>
    </xf>
    <xf numFmtId="0" fontId="23" fillId="0" borderId="0" xfId="43" applyFont="1" applyAlignment="1">
      <alignment horizontal="center" vertical="center" wrapText="1"/>
    </xf>
    <xf numFmtId="0" fontId="27" fillId="0" borderId="18" xfId="0" applyFont="1" applyBorder="1" applyAlignment="1">
      <alignment horizontal="center" vertical="center"/>
    </xf>
    <xf numFmtId="0" fontId="27" fillId="0" borderId="19" xfId="0" applyFont="1" applyBorder="1">
      <alignment vertical="center"/>
    </xf>
    <xf numFmtId="0" fontId="24" fillId="0" borderId="19" xfId="0" applyFont="1" applyBorder="1">
      <alignment vertical="center"/>
    </xf>
    <xf numFmtId="0" fontId="24" fillId="0" borderId="19" xfId="0" applyFont="1" applyBorder="1" applyAlignment="1">
      <alignment horizontal="center" vertical="center"/>
    </xf>
    <xf numFmtId="0" fontId="24" fillId="0" borderId="19" xfId="0" applyFont="1" applyBorder="1" applyAlignment="1">
      <alignment vertical="center" wrapText="1"/>
    </xf>
    <xf numFmtId="0" fontId="24" fillId="0" borderId="20" xfId="0" applyFont="1" applyBorder="1">
      <alignment vertical="center"/>
    </xf>
    <xf numFmtId="0" fontId="24" fillId="0" borderId="0" xfId="0" applyFont="1">
      <alignment vertical="center"/>
    </xf>
    <xf numFmtId="0" fontId="27" fillId="0" borderId="21" xfId="0" applyFont="1" applyBorder="1" applyAlignment="1">
      <alignment horizontal="center" vertical="center"/>
    </xf>
    <xf numFmtId="0" fontId="27" fillId="0" borderId="22" xfId="0" applyFont="1" applyBorder="1">
      <alignment vertical="center"/>
    </xf>
    <xf numFmtId="0" fontId="27" fillId="0" borderId="28" xfId="0" applyFont="1" applyBorder="1">
      <alignment vertical="center"/>
    </xf>
    <xf numFmtId="0" fontId="27" fillId="0" borderId="26" xfId="0" applyFont="1" applyBorder="1">
      <alignment vertical="center"/>
    </xf>
    <xf numFmtId="0" fontId="27" fillId="0" borderId="27" xfId="0" applyFont="1" applyBorder="1">
      <alignment vertical="center"/>
    </xf>
    <xf numFmtId="0" fontId="27" fillId="0" borderId="23" xfId="0" applyFont="1" applyBorder="1" applyAlignment="1">
      <alignment horizontal="center" vertical="center"/>
    </xf>
    <xf numFmtId="0" fontId="27" fillId="0" borderId="29" xfId="0" applyFont="1" applyBorder="1">
      <alignment vertical="center"/>
    </xf>
    <xf numFmtId="0" fontId="27" fillId="0" borderId="22" xfId="0" applyFont="1" applyBorder="1" applyAlignment="1">
      <alignment horizontal="center" vertical="center"/>
    </xf>
    <xf numFmtId="0" fontId="0" fillId="0" borderId="32" xfId="0" applyBorder="1">
      <alignment vertical="center"/>
    </xf>
    <xf numFmtId="0" fontId="0" fillId="0" borderId="41" xfId="0" applyBorder="1">
      <alignment vertical="center"/>
    </xf>
    <xf numFmtId="0" fontId="14" fillId="0" borderId="31" xfId="0" applyFont="1" applyBorder="1">
      <alignment vertical="center"/>
    </xf>
    <xf numFmtId="0" fontId="19" fillId="0" borderId="0" xfId="0" applyFont="1">
      <alignment vertical="center"/>
    </xf>
    <xf numFmtId="0" fontId="14" fillId="0" borderId="32" xfId="0" applyFont="1" applyBorder="1">
      <alignment vertical="center"/>
    </xf>
    <xf numFmtId="0" fontId="14" fillId="0" borderId="0" xfId="0" applyFont="1">
      <alignment vertical="center"/>
    </xf>
    <xf numFmtId="0" fontId="0" fillId="0" borderId="42" xfId="0" applyBorder="1">
      <alignment vertical="center"/>
    </xf>
    <xf numFmtId="0" fontId="19" fillId="0" borderId="31" xfId="0" applyFont="1" applyBorder="1">
      <alignment vertical="center"/>
    </xf>
    <xf numFmtId="0" fontId="29" fillId="0" borderId="31" xfId="0" applyFont="1" applyBorder="1">
      <alignment vertical="center"/>
    </xf>
    <xf numFmtId="0" fontId="25" fillId="0" borderId="40" xfId="44" applyFont="1" applyBorder="1">
      <alignment vertical="center"/>
    </xf>
    <xf numFmtId="0" fontId="20" fillId="0" borderId="15" xfId="42" applyBorder="1" applyAlignment="1">
      <alignment horizontal="left" vertical="center"/>
    </xf>
    <xf numFmtId="0" fontId="22" fillId="0" borderId="10" xfId="43" applyFont="1" applyBorder="1" applyAlignment="1">
      <alignment horizontal="center" vertical="center"/>
    </xf>
    <xf numFmtId="0" fontId="25" fillId="0" borderId="36" xfId="44" applyFont="1" applyBorder="1" applyAlignment="1">
      <alignment horizontal="center" vertical="center"/>
    </xf>
    <xf numFmtId="0" fontId="25" fillId="0" borderId="37" xfId="44" applyFont="1" applyBorder="1" applyAlignment="1">
      <alignment horizontal="center" vertical="center"/>
    </xf>
    <xf numFmtId="0" fontId="25" fillId="0" borderId="38" xfId="44" applyFont="1" applyBorder="1" applyAlignment="1">
      <alignment horizontal="center" vertical="center"/>
    </xf>
    <xf numFmtId="0" fontId="23" fillId="0" borderId="39" xfId="44" applyFont="1" applyBorder="1" applyAlignment="1">
      <alignment horizontal="center" vertical="center"/>
    </xf>
    <xf numFmtId="0" fontId="23" fillId="0" borderId="40" xfId="44" applyFont="1" applyBorder="1" applyAlignment="1">
      <alignment horizontal="center" vertical="center"/>
    </xf>
    <xf numFmtId="176" fontId="25" fillId="0" borderId="39" xfId="44" applyNumberFormat="1" applyFont="1" applyBorder="1" applyAlignment="1">
      <alignment horizontal="center" vertical="center"/>
    </xf>
    <xf numFmtId="176" fontId="25" fillId="0" borderId="40" xfId="44" applyNumberFormat="1" applyFont="1" applyBorder="1" applyAlignment="1">
      <alignment horizontal="center" vertical="center"/>
    </xf>
    <xf numFmtId="177" fontId="25" fillId="0" borderId="40" xfId="44" applyNumberFormat="1" applyFont="1" applyBorder="1" applyAlignment="1">
      <alignment horizontal="center" vertical="center"/>
    </xf>
  </cellXfs>
  <cellStyles count="45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3" xr:uid="{DDF728F6-1306-4F2C-BA1A-591D2B220C17}"/>
    <cellStyle name="표준 3" xfId="44" xr:uid="{DC4221DD-C7B0-4771-81DA-5D45AE23EBAB}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H25-128-1_Miltestone_Home_IOT_Doorbell_2nd_CM_BOT_Board_V1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AD07-AA2D-4271-98F9-81417A474AA5}">
  <dimension ref="A1:J30"/>
  <sheetViews>
    <sheetView tabSelected="1" workbookViewId="0">
      <selection activeCell="H13" sqref="H13"/>
    </sheetView>
  </sheetViews>
  <sheetFormatPr defaultRowHeight="13.5" x14ac:dyDescent="0.3"/>
  <cols>
    <col min="1" max="1" width="6.625" style="10" customWidth="1"/>
    <col min="2" max="2" width="16.625" style="8" customWidth="1"/>
    <col min="3" max="3" width="20.625" style="8" customWidth="1"/>
    <col min="4" max="5" width="6.625" style="10" customWidth="1"/>
    <col min="6" max="6" width="7.625" style="10" customWidth="1"/>
    <col min="7" max="7" width="14.625" style="10" customWidth="1"/>
    <col min="8" max="8" width="50.625" style="9" customWidth="1"/>
    <col min="9" max="9" width="18.625" style="8" customWidth="1"/>
    <col min="10" max="10" width="14.625" style="8" customWidth="1"/>
    <col min="11" max="16384" width="9" style="8"/>
  </cols>
  <sheetData>
    <row r="1" spans="1:10" ht="14.25" thickBot="1" x14ac:dyDescent="0.35">
      <c r="A1" s="68" t="s">
        <v>28</v>
      </c>
      <c r="B1" s="69"/>
      <c r="C1" s="31" t="s">
        <v>29</v>
      </c>
      <c r="D1" s="70" t="s">
        <v>30</v>
      </c>
      <c r="E1" s="70"/>
      <c r="F1" s="70"/>
      <c r="G1" s="70" t="s">
        <v>31</v>
      </c>
      <c r="H1" s="70"/>
      <c r="I1" s="31" t="s">
        <v>32</v>
      </c>
      <c r="J1" s="31" t="s">
        <v>33</v>
      </c>
    </row>
    <row r="2" spans="1:10" x14ac:dyDescent="0.3">
      <c r="A2" s="71" t="s">
        <v>125</v>
      </c>
      <c r="B2" s="71"/>
      <c r="C2" s="71" t="s">
        <v>126</v>
      </c>
      <c r="D2" s="71" t="s">
        <v>34</v>
      </c>
      <c r="E2" s="71"/>
      <c r="F2" s="33" t="s">
        <v>35</v>
      </c>
      <c r="G2" s="32" t="s">
        <v>36</v>
      </c>
      <c r="H2" s="33" t="s">
        <v>37</v>
      </c>
      <c r="I2" s="73"/>
      <c r="J2" s="71"/>
    </row>
    <row r="3" spans="1:10" ht="14.25" thickBot="1" x14ac:dyDescent="0.35">
      <c r="A3" s="72"/>
      <c r="B3" s="72"/>
      <c r="C3" s="72"/>
      <c r="D3" s="75"/>
      <c r="E3" s="75"/>
      <c r="F3" s="35" t="s">
        <v>127</v>
      </c>
      <c r="G3" s="34" t="s">
        <v>38</v>
      </c>
      <c r="H3" s="65" t="s">
        <v>129</v>
      </c>
      <c r="I3" s="74"/>
      <c r="J3" s="72"/>
    </row>
    <row r="4" spans="1:10" x14ac:dyDescent="0.3">
      <c r="A4" s="38"/>
      <c r="B4" s="39"/>
      <c r="C4" s="39"/>
      <c r="D4" s="39"/>
      <c r="E4" s="38"/>
      <c r="F4" s="40"/>
      <c r="G4" s="38"/>
      <c r="H4" s="39"/>
      <c r="I4" s="39"/>
      <c r="J4" s="39"/>
    </row>
    <row r="5" spans="1:10" ht="21" thickBot="1" x14ac:dyDescent="0.35">
      <c r="A5" s="67" t="s">
        <v>128</v>
      </c>
      <c r="B5" s="67"/>
      <c r="C5" s="67"/>
      <c r="D5" s="67"/>
      <c r="E5" s="67"/>
      <c r="F5" s="67"/>
      <c r="G5" s="67"/>
      <c r="H5" s="67"/>
      <c r="I5" s="67"/>
      <c r="J5" s="67"/>
    </row>
    <row r="6" spans="1:10" ht="15" thickTop="1" thickBot="1" x14ac:dyDescent="0.35">
      <c r="A6" s="1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36" t="s">
        <v>44</v>
      </c>
      <c r="G6" s="25" t="s">
        <v>45</v>
      </c>
      <c r="H6" s="24" t="s">
        <v>46</v>
      </c>
      <c r="I6" s="26" t="s">
        <v>47</v>
      </c>
      <c r="J6" s="3" t="s">
        <v>33</v>
      </c>
    </row>
    <row r="7" spans="1:10" ht="17.25" thickBot="1" x14ac:dyDescent="0.35">
      <c r="A7" s="11"/>
      <c r="B7" s="66" t="s">
        <v>130</v>
      </c>
      <c r="C7" s="4"/>
      <c r="D7" s="5"/>
      <c r="E7" s="5">
        <v>5</v>
      </c>
      <c r="F7" s="37"/>
      <c r="G7" s="5"/>
      <c r="H7" s="6"/>
      <c r="I7" s="6"/>
      <c r="J7" s="7">
        <v>2025.11</v>
      </c>
    </row>
    <row r="8" spans="1:10" s="47" customFormat="1" x14ac:dyDescent="0.3">
      <c r="A8" s="41">
        <v>1</v>
      </c>
      <c r="B8" s="42" t="s">
        <v>48</v>
      </c>
      <c r="C8" s="43" t="s">
        <v>24</v>
      </c>
      <c r="D8" s="44">
        <v>1</v>
      </c>
      <c r="E8" s="44">
        <v>0</v>
      </c>
      <c r="F8" s="44"/>
      <c r="G8" s="44"/>
      <c r="H8" s="45" t="s">
        <v>23</v>
      </c>
      <c r="I8" s="43"/>
      <c r="J8" s="46" t="s">
        <v>56</v>
      </c>
    </row>
    <row r="9" spans="1:10" ht="27" x14ac:dyDescent="0.3">
      <c r="A9" s="48">
        <f>A8+1</f>
        <v>2</v>
      </c>
      <c r="B9" s="49" t="s">
        <v>49</v>
      </c>
      <c r="C9" s="12" t="s">
        <v>27</v>
      </c>
      <c r="D9" s="13">
        <v>17</v>
      </c>
      <c r="E9" s="55">
        <f t="shared" ref="E9:E18" si="0">$E$7*$D9</f>
        <v>85</v>
      </c>
      <c r="F9" s="13"/>
      <c r="G9" s="13" t="s">
        <v>54</v>
      </c>
      <c r="H9" s="14" t="s">
        <v>10</v>
      </c>
      <c r="I9" s="12"/>
      <c r="J9" s="15"/>
    </row>
    <row r="10" spans="1:10" x14ac:dyDescent="0.3">
      <c r="A10" s="48">
        <f t="shared" ref="A10:A16" si="1">A9+1</f>
        <v>3</v>
      </c>
      <c r="B10" s="50" t="s">
        <v>50</v>
      </c>
      <c r="C10" s="12" t="s">
        <v>5</v>
      </c>
      <c r="D10" s="13">
        <v>4</v>
      </c>
      <c r="E10" s="55">
        <f t="shared" si="0"/>
        <v>20</v>
      </c>
      <c r="F10" s="13"/>
      <c r="G10" s="13" t="s">
        <v>54</v>
      </c>
      <c r="H10" s="14" t="s">
        <v>4</v>
      </c>
      <c r="I10" s="12"/>
      <c r="J10" s="15"/>
    </row>
    <row r="11" spans="1:10" x14ac:dyDescent="0.3">
      <c r="A11" s="48">
        <f t="shared" si="1"/>
        <v>4</v>
      </c>
      <c r="B11" s="51"/>
      <c r="C11" s="12" t="s">
        <v>25</v>
      </c>
      <c r="D11" s="13">
        <v>1</v>
      </c>
      <c r="E11" s="55">
        <f t="shared" si="0"/>
        <v>5</v>
      </c>
      <c r="F11" s="13"/>
      <c r="G11" s="13" t="s">
        <v>54</v>
      </c>
      <c r="H11" s="14" t="s">
        <v>8</v>
      </c>
      <c r="I11" s="12"/>
      <c r="J11" s="15"/>
    </row>
    <row r="12" spans="1:10" x14ac:dyDescent="0.3">
      <c r="A12" s="48">
        <f t="shared" si="1"/>
        <v>5</v>
      </c>
      <c r="B12" s="52"/>
      <c r="C12" s="12" t="s">
        <v>26</v>
      </c>
      <c r="D12" s="13">
        <v>3</v>
      </c>
      <c r="E12" s="55">
        <f t="shared" si="0"/>
        <v>15</v>
      </c>
      <c r="F12" s="13"/>
      <c r="G12" s="13" t="s">
        <v>54</v>
      </c>
      <c r="H12" s="14" t="s">
        <v>6</v>
      </c>
      <c r="I12" s="12"/>
      <c r="J12" s="15"/>
    </row>
    <row r="13" spans="1:10" s="47" customFormat="1" x14ac:dyDescent="0.3">
      <c r="A13" s="48">
        <f t="shared" si="1"/>
        <v>6</v>
      </c>
      <c r="B13" s="51"/>
      <c r="C13" s="16" t="s">
        <v>3</v>
      </c>
      <c r="D13" s="17">
        <v>1</v>
      </c>
      <c r="E13" s="17">
        <v>0</v>
      </c>
      <c r="F13" s="17"/>
      <c r="G13" s="17"/>
      <c r="H13" s="18" t="s">
        <v>2</v>
      </c>
      <c r="I13" s="16"/>
      <c r="J13" s="19" t="s">
        <v>55</v>
      </c>
    </row>
    <row r="14" spans="1:10" x14ac:dyDescent="0.3">
      <c r="A14" s="48">
        <f t="shared" si="1"/>
        <v>7</v>
      </c>
      <c r="B14" s="49" t="s">
        <v>51</v>
      </c>
      <c r="C14" s="16" t="s">
        <v>19</v>
      </c>
      <c r="D14" s="17">
        <v>10</v>
      </c>
      <c r="E14" s="17">
        <v>0</v>
      </c>
      <c r="F14" s="17"/>
      <c r="G14" s="17"/>
      <c r="H14" s="18" t="s">
        <v>18</v>
      </c>
      <c r="I14" s="16"/>
      <c r="J14" s="19"/>
    </row>
    <row r="15" spans="1:10" s="47" customFormat="1" x14ac:dyDescent="0.3">
      <c r="A15" s="48">
        <f t="shared" si="1"/>
        <v>8</v>
      </c>
      <c r="B15" s="49" t="s">
        <v>52</v>
      </c>
      <c r="C15" s="16" t="s">
        <v>1</v>
      </c>
      <c r="D15" s="17">
        <v>1</v>
      </c>
      <c r="E15" s="17">
        <v>0</v>
      </c>
      <c r="F15" s="17"/>
      <c r="G15" s="17"/>
      <c r="H15" s="18" t="s">
        <v>0</v>
      </c>
      <c r="I15" s="16"/>
      <c r="J15" s="19" t="s">
        <v>55</v>
      </c>
    </row>
    <row r="16" spans="1:10" x14ac:dyDescent="0.3">
      <c r="A16" s="48">
        <f t="shared" si="1"/>
        <v>9</v>
      </c>
      <c r="B16" s="50" t="s">
        <v>53</v>
      </c>
      <c r="C16" s="12" t="s">
        <v>131</v>
      </c>
      <c r="D16" s="13">
        <v>1</v>
      </c>
      <c r="E16" s="55">
        <f t="shared" si="0"/>
        <v>5</v>
      </c>
      <c r="F16" s="13"/>
      <c r="G16" s="13" t="s">
        <v>54</v>
      </c>
      <c r="H16" s="14" t="s">
        <v>12</v>
      </c>
      <c r="I16" s="12"/>
      <c r="J16" s="15"/>
    </row>
    <row r="17" spans="1:10" x14ac:dyDescent="0.3">
      <c r="A17" s="48">
        <f t="shared" ref="A17:A18" si="2">A16+1</f>
        <v>10</v>
      </c>
      <c r="B17" s="51"/>
      <c r="C17" s="12" t="s">
        <v>58</v>
      </c>
      <c r="D17" s="13">
        <v>2</v>
      </c>
      <c r="E17" s="55">
        <f t="shared" si="0"/>
        <v>10</v>
      </c>
      <c r="F17" s="13"/>
      <c r="G17" s="13" t="s">
        <v>54</v>
      </c>
      <c r="H17" s="14" t="s">
        <v>16</v>
      </c>
      <c r="I17" s="12"/>
      <c r="J17" s="15"/>
    </row>
    <row r="18" spans="1:10" s="47" customFormat="1" ht="14.25" thickBot="1" x14ac:dyDescent="0.35">
      <c r="A18" s="53">
        <f t="shared" si="2"/>
        <v>11</v>
      </c>
      <c r="B18" s="54"/>
      <c r="C18" s="27" t="s">
        <v>15</v>
      </c>
      <c r="D18" s="28">
        <v>1</v>
      </c>
      <c r="E18" s="28">
        <v>0</v>
      </c>
      <c r="F18" s="28"/>
      <c r="G18" s="28"/>
      <c r="H18" s="29" t="s">
        <v>14</v>
      </c>
      <c r="I18" s="27"/>
      <c r="J18" s="30" t="s">
        <v>57</v>
      </c>
    </row>
    <row r="19" spans="1:10" ht="14.25" thickTop="1" x14ac:dyDescent="0.3"/>
    <row r="30" spans="1:10" ht="54" x14ac:dyDescent="0.3">
      <c r="B30" s="8" t="s">
        <v>21</v>
      </c>
      <c r="C30" s="8" t="s">
        <v>22</v>
      </c>
      <c r="D30" s="10">
        <v>15</v>
      </c>
      <c r="H30" s="9" t="s">
        <v>20</v>
      </c>
    </row>
  </sheetData>
  <sortState xmlns:xlrd2="http://schemas.microsoft.com/office/spreadsheetml/2017/richdata2" ref="A10:J12">
    <sortCondition ref="C10:C12"/>
  </sortState>
  <mergeCells count="10">
    <mergeCell ref="A5:J5"/>
    <mergeCell ref="A1:B1"/>
    <mergeCell ref="D1:F1"/>
    <mergeCell ref="G1:H1"/>
    <mergeCell ref="A2:B3"/>
    <mergeCell ref="C2:C3"/>
    <mergeCell ref="D2:E2"/>
    <mergeCell ref="I2:I3"/>
    <mergeCell ref="J2:J3"/>
    <mergeCell ref="D3:E3"/>
  </mergeCells>
  <phoneticPr fontId="18" type="noConversion"/>
  <hyperlinks>
    <hyperlink ref="B7" r:id="rId1" xr:uid="{F13D2651-3A7E-4CEA-96CA-8AC754B0F45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8A372-BF8F-4B53-9D95-74E99AA336D3}">
  <dimension ref="A1:H63"/>
  <sheetViews>
    <sheetView workbookViewId="0">
      <selection activeCell="A40" sqref="A40"/>
    </sheetView>
  </sheetViews>
  <sheetFormatPr defaultRowHeight="16.5" x14ac:dyDescent="0.3"/>
  <cols>
    <col min="1" max="1" width="16.625" customWidth="1"/>
    <col min="2" max="2" width="20.625" customWidth="1"/>
    <col min="8" max="8" width="14.625" customWidth="1"/>
  </cols>
  <sheetData>
    <row r="1" spans="1:8" x14ac:dyDescent="0.3">
      <c r="B1" t="s">
        <v>60</v>
      </c>
      <c r="C1" t="s">
        <v>59</v>
      </c>
      <c r="D1" t="s">
        <v>61</v>
      </c>
      <c r="E1" t="s">
        <v>62</v>
      </c>
      <c r="F1" t="s">
        <v>63</v>
      </c>
      <c r="G1" t="s">
        <v>64</v>
      </c>
    </row>
    <row r="2" spans="1:8" ht="18.75" customHeight="1" thickBot="1" x14ac:dyDescent="0.35">
      <c r="B2" t="s">
        <v>65</v>
      </c>
      <c r="C2" t="s">
        <v>65</v>
      </c>
      <c r="D2" t="s">
        <v>65</v>
      </c>
      <c r="E2" t="s">
        <v>66</v>
      </c>
      <c r="F2" t="s">
        <v>66</v>
      </c>
      <c r="G2" t="s">
        <v>67</v>
      </c>
    </row>
    <row r="3" spans="1:8" ht="17.25" thickBot="1" x14ac:dyDescent="0.35">
      <c r="A3" s="21" t="s">
        <v>48</v>
      </c>
      <c r="B3" s="58" t="s">
        <v>24</v>
      </c>
      <c r="C3" s="63" t="s">
        <v>23</v>
      </c>
      <c r="D3" s="63" t="s">
        <v>69</v>
      </c>
      <c r="E3" s="63">
        <v>263.59500000000003</v>
      </c>
      <c r="F3" s="63">
        <v>9.85</v>
      </c>
      <c r="G3" s="63">
        <v>270</v>
      </c>
      <c r="H3" s="63" t="s">
        <v>55</v>
      </c>
    </row>
    <row r="4" spans="1:8" x14ac:dyDescent="0.3">
      <c r="A4" s="21" t="s">
        <v>49</v>
      </c>
      <c r="B4" s="21" t="s">
        <v>11</v>
      </c>
      <c r="C4" s="21" t="s">
        <v>85</v>
      </c>
      <c r="D4" s="21" t="s">
        <v>69</v>
      </c>
      <c r="E4" s="21">
        <v>272.85000000000002</v>
      </c>
      <c r="F4" s="21">
        <v>23.6</v>
      </c>
      <c r="G4" s="21">
        <v>90</v>
      </c>
      <c r="H4" s="21"/>
    </row>
    <row r="5" spans="1:8" x14ac:dyDescent="0.3">
      <c r="B5" t="s">
        <v>11</v>
      </c>
      <c r="C5" t="s">
        <v>87</v>
      </c>
      <c r="D5" t="s">
        <v>69</v>
      </c>
      <c r="E5">
        <v>272.85000000000002</v>
      </c>
      <c r="F5">
        <v>25.7</v>
      </c>
      <c r="G5">
        <v>90</v>
      </c>
    </row>
    <row r="6" spans="1:8" x14ac:dyDescent="0.3">
      <c r="B6" t="s">
        <v>11</v>
      </c>
      <c r="C6" t="s">
        <v>89</v>
      </c>
      <c r="D6" t="s">
        <v>69</v>
      </c>
      <c r="E6">
        <v>272.85000000000002</v>
      </c>
      <c r="F6">
        <v>27.4</v>
      </c>
      <c r="G6">
        <v>90</v>
      </c>
    </row>
    <row r="7" spans="1:8" x14ac:dyDescent="0.3">
      <c r="B7" t="s">
        <v>11</v>
      </c>
      <c r="C7" t="s">
        <v>90</v>
      </c>
      <c r="D7" t="s">
        <v>69</v>
      </c>
      <c r="E7">
        <v>267.35000000000002</v>
      </c>
      <c r="F7">
        <v>27.5</v>
      </c>
      <c r="G7">
        <v>90</v>
      </c>
    </row>
    <row r="8" spans="1:8" x14ac:dyDescent="0.3">
      <c r="B8" t="s">
        <v>11</v>
      </c>
      <c r="C8" t="s">
        <v>92</v>
      </c>
      <c r="D8" t="s">
        <v>69</v>
      </c>
      <c r="E8">
        <v>267.45</v>
      </c>
      <c r="F8">
        <v>30</v>
      </c>
      <c r="G8">
        <v>90</v>
      </c>
    </row>
    <row r="9" spans="1:8" x14ac:dyDescent="0.3">
      <c r="B9" t="s">
        <v>11</v>
      </c>
      <c r="C9" t="s">
        <v>96</v>
      </c>
      <c r="D9" t="s">
        <v>69</v>
      </c>
      <c r="E9">
        <v>270.75</v>
      </c>
      <c r="F9">
        <v>36.299999999999997</v>
      </c>
      <c r="G9">
        <v>90</v>
      </c>
    </row>
    <row r="10" spans="1:8" x14ac:dyDescent="0.3">
      <c r="B10" t="s">
        <v>11</v>
      </c>
      <c r="C10" t="s">
        <v>97</v>
      </c>
      <c r="D10" t="s">
        <v>69</v>
      </c>
      <c r="E10">
        <v>266.64999999999998</v>
      </c>
      <c r="F10">
        <v>38</v>
      </c>
      <c r="G10">
        <v>90</v>
      </c>
    </row>
    <row r="11" spans="1:8" x14ac:dyDescent="0.3">
      <c r="B11" t="s">
        <v>11</v>
      </c>
      <c r="C11" t="s">
        <v>98</v>
      </c>
      <c r="D11" t="s">
        <v>69</v>
      </c>
      <c r="E11">
        <v>270.75</v>
      </c>
      <c r="F11">
        <v>39.6</v>
      </c>
      <c r="G11">
        <v>90</v>
      </c>
    </row>
    <row r="12" spans="1:8" x14ac:dyDescent="0.3">
      <c r="B12" t="s">
        <v>11</v>
      </c>
      <c r="C12" t="s">
        <v>99</v>
      </c>
      <c r="D12" t="s">
        <v>69</v>
      </c>
      <c r="E12">
        <v>266.64999999999998</v>
      </c>
      <c r="F12">
        <v>41.1</v>
      </c>
      <c r="G12">
        <v>90</v>
      </c>
    </row>
    <row r="13" spans="1:8" x14ac:dyDescent="0.3">
      <c r="B13" t="s">
        <v>11</v>
      </c>
      <c r="C13" t="s">
        <v>100</v>
      </c>
      <c r="D13" t="s">
        <v>69</v>
      </c>
      <c r="E13">
        <v>271.14999999999998</v>
      </c>
      <c r="F13">
        <v>42.6</v>
      </c>
      <c r="G13">
        <v>90</v>
      </c>
    </row>
    <row r="14" spans="1:8" x14ac:dyDescent="0.3">
      <c r="B14" t="s">
        <v>11</v>
      </c>
      <c r="C14" t="s">
        <v>101</v>
      </c>
      <c r="D14" t="s">
        <v>69</v>
      </c>
      <c r="E14">
        <v>267.95</v>
      </c>
      <c r="F14">
        <v>44.1</v>
      </c>
      <c r="G14">
        <v>90</v>
      </c>
    </row>
    <row r="15" spans="1:8" x14ac:dyDescent="0.3">
      <c r="B15" t="s">
        <v>11</v>
      </c>
      <c r="C15" t="s">
        <v>102</v>
      </c>
      <c r="D15" t="s">
        <v>69</v>
      </c>
      <c r="E15">
        <v>271.14999999999998</v>
      </c>
      <c r="F15">
        <v>45.6</v>
      </c>
      <c r="G15">
        <v>90</v>
      </c>
    </row>
    <row r="16" spans="1:8" x14ac:dyDescent="0.3">
      <c r="B16" t="s">
        <v>11</v>
      </c>
      <c r="C16" t="s">
        <v>103</v>
      </c>
      <c r="D16" t="s">
        <v>69</v>
      </c>
      <c r="E16">
        <v>267.95</v>
      </c>
      <c r="F16">
        <v>47.1</v>
      </c>
      <c r="G16">
        <v>90</v>
      </c>
    </row>
    <row r="17" spans="1:8" x14ac:dyDescent="0.3">
      <c r="B17" t="s">
        <v>11</v>
      </c>
      <c r="C17" t="s">
        <v>104</v>
      </c>
      <c r="D17" t="s">
        <v>69</v>
      </c>
      <c r="E17">
        <v>271.14999999999998</v>
      </c>
      <c r="F17">
        <v>48.7</v>
      </c>
      <c r="G17">
        <v>90</v>
      </c>
    </row>
    <row r="18" spans="1:8" ht="17.25" thickBot="1" x14ac:dyDescent="0.35">
      <c r="A18" s="56"/>
      <c r="B18" s="56" t="s">
        <v>11</v>
      </c>
      <c r="C18" s="56" t="s">
        <v>105</v>
      </c>
      <c r="D18" s="56" t="s">
        <v>69</v>
      </c>
      <c r="E18" s="56">
        <v>267.95</v>
      </c>
      <c r="F18" s="56">
        <v>50.3</v>
      </c>
      <c r="G18" s="56">
        <v>90</v>
      </c>
      <c r="H18" s="56"/>
    </row>
    <row r="19" spans="1:8" x14ac:dyDescent="0.3">
      <c r="A19" t="s">
        <v>50</v>
      </c>
      <c r="B19" t="s">
        <v>5</v>
      </c>
      <c r="C19" t="s">
        <v>108</v>
      </c>
      <c r="D19" t="s">
        <v>69</v>
      </c>
      <c r="E19">
        <v>272.8</v>
      </c>
      <c r="F19">
        <v>22.2</v>
      </c>
      <c r="G19">
        <v>180</v>
      </c>
    </row>
    <row r="20" spans="1:8" x14ac:dyDescent="0.3">
      <c r="B20" t="s">
        <v>5</v>
      </c>
      <c r="C20" t="s">
        <v>110</v>
      </c>
      <c r="D20" t="s">
        <v>69</v>
      </c>
      <c r="E20">
        <v>269.39999999999998</v>
      </c>
      <c r="F20">
        <v>25.4</v>
      </c>
      <c r="G20">
        <v>180</v>
      </c>
    </row>
    <row r="21" spans="1:8" x14ac:dyDescent="0.3">
      <c r="B21" t="s">
        <v>5</v>
      </c>
      <c r="C21" t="s">
        <v>122</v>
      </c>
      <c r="D21" t="s">
        <v>69</v>
      </c>
      <c r="E21">
        <v>270.5</v>
      </c>
      <c r="F21">
        <v>26.9</v>
      </c>
      <c r="G21">
        <v>270</v>
      </c>
    </row>
    <row r="22" spans="1:8" x14ac:dyDescent="0.3">
      <c r="B22" t="s">
        <v>5</v>
      </c>
      <c r="C22" t="s">
        <v>72</v>
      </c>
      <c r="D22" t="s">
        <v>69</v>
      </c>
      <c r="E22">
        <v>103.1</v>
      </c>
      <c r="F22">
        <v>14</v>
      </c>
      <c r="G22">
        <v>0</v>
      </c>
    </row>
    <row r="23" spans="1:8" x14ac:dyDescent="0.3">
      <c r="A23" s="23"/>
      <c r="B23" s="23" t="s">
        <v>9</v>
      </c>
      <c r="C23" s="23" t="s">
        <v>8</v>
      </c>
      <c r="D23" s="23" t="s">
        <v>69</v>
      </c>
      <c r="E23" s="23">
        <v>103.108</v>
      </c>
      <c r="F23" s="23">
        <v>13</v>
      </c>
      <c r="G23" s="23">
        <v>0</v>
      </c>
      <c r="H23" s="23"/>
    </row>
    <row r="24" spans="1:8" x14ac:dyDescent="0.3">
      <c r="A24" s="20"/>
      <c r="B24" s="20" t="s">
        <v>7</v>
      </c>
      <c r="C24" s="20" t="s">
        <v>107</v>
      </c>
      <c r="D24" s="20" t="s">
        <v>69</v>
      </c>
      <c r="E24" s="20">
        <v>272.8</v>
      </c>
      <c r="F24" s="20">
        <v>21.1</v>
      </c>
      <c r="G24" s="20">
        <v>180</v>
      </c>
      <c r="H24" s="20"/>
    </row>
    <row r="25" spans="1:8" x14ac:dyDescent="0.3">
      <c r="B25" t="s">
        <v>7</v>
      </c>
      <c r="C25" t="s">
        <v>109</v>
      </c>
      <c r="D25" t="s">
        <v>69</v>
      </c>
      <c r="E25">
        <v>269.39999999999998</v>
      </c>
      <c r="F25">
        <v>24.4</v>
      </c>
      <c r="G25">
        <v>180</v>
      </c>
    </row>
    <row r="26" spans="1:8" x14ac:dyDescent="0.3">
      <c r="A26" s="62"/>
      <c r="B26" s="62" t="s">
        <v>7</v>
      </c>
      <c r="C26" s="62" t="s">
        <v>121</v>
      </c>
      <c r="D26" s="62" t="s">
        <v>69</v>
      </c>
      <c r="E26" s="62">
        <v>269.5</v>
      </c>
      <c r="F26" s="62">
        <v>26.9</v>
      </c>
      <c r="G26" s="62">
        <v>270</v>
      </c>
      <c r="H26" s="62"/>
    </row>
    <row r="27" spans="1:8" ht="17.25" thickBot="1" x14ac:dyDescent="0.35">
      <c r="A27" s="61"/>
      <c r="B27" s="61" t="s">
        <v>3</v>
      </c>
      <c r="C27" s="59" t="s">
        <v>2</v>
      </c>
      <c r="D27" s="59" t="s">
        <v>69</v>
      </c>
      <c r="E27" s="59">
        <v>267</v>
      </c>
      <c r="F27" s="59">
        <v>7.7</v>
      </c>
      <c r="G27" s="59">
        <v>90</v>
      </c>
      <c r="H27" s="59" t="s">
        <v>55</v>
      </c>
    </row>
    <row r="28" spans="1:8" x14ac:dyDescent="0.3">
      <c r="A28" s="64" t="s">
        <v>51</v>
      </c>
      <c r="B28" s="58" t="s">
        <v>19</v>
      </c>
      <c r="C28" s="58" t="s">
        <v>116</v>
      </c>
      <c r="D28" s="58" t="s">
        <v>69</v>
      </c>
      <c r="E28" s="58">
        <v>267</v>
      </c>
      <c r="F28" s="58">
        <v>11.1</v>
      </c>
      <c r="G28" s="58">
        <v>270</v>
      </c>
      <c r="H28" s="58" t="s">
        <v>56</v>
      </c>
    </row>
    <row r="29" spans="1:8" x14ac:dyDescent="0.3">
      <c r="A29" s="59"/>
      <c r="B29" s="59" t="s">
        <v>19</v>
      </c>
      <c r="C29" s="59" t="s">
        <v>106</v>
      </c>
      <c r="D29" s="59" t="s">
        <v>69</v>
      </c>
      <c r="E29" s="59">
        <v>264.7</v>
      </c>
      <c r="F29" s="59">
        <v>5.4</v>
      </c>
      <c r="G29" s="59">
        <v>180</v>
      </c>
      <c r="H29" s="59" t="s">
        <v>55</v>
      </c>
    </row>
    <row r="30" spans="1:8" x14ac:dyDescent="0.3">
      <c r="A30" s="59"/>
      <c r="B30" s="59" t="s">
        <v>19</v>
      </c>
      <c r="C30" s="59" t="s">
        <v>84</v>
      </c>
      <c r="D30" s="59" t="s">
        <v>69</v>
      </c>
      <c r="E30" s="59">
        <v>264.7</v>
      </c>
      <c r="F30" s="59">
        <v>15.7</v>
      </c>
      <c r="G30" s="59">
        <v>90</v>
      </c>
      <c r="H30" s="59" t="s">
        <v>55</v>
      </c>
    </row>
    <row r="31" spans="1:8" x14ac:dyDescent="0.3">
      <c r="A31" s="59"/>
      <c r="B31" s="59" t="s">
        <v>19</v>
      </c>
      <c r="C31" s="59" t="s">
        <v>83</v>
      </c>
      <c r="D31" s="59" t="s">
        <v>69</v>
      </c>
      <c r="E31" s="59">
        <v>263.2</v>
      </c>
      <c r="F31" s="59">
        <v>15.7</v>
      </c>
      <c r="G31" s="59">
        <v>90</v>
      </c>
      <c r="H31" s="59" t="s">
        <v>55</v>
      </c>
    </row>
    <row r="32" spans="1:8" x14ac:dyDescent="0.3">
      <c r="A32" s="59"/>
      <c r="B32" s="59" t="s">
        <v>19</v>
      </c>
      <c r="C32" s="59" t="s">
        <v>82</v>
      </c>
      <c r="D32" s="59" t="s">
        <v>69</v>
      </c>
      <c r="E32" s="59">
        <v>261.7</v>
      </c>
      <c r="F32" s="59">
        <v>15.7</v>
      </c>
      <c r="G32" s="59">
        <v>90</v>
      </c>
      <c r="H32" s="59" t="s">
        <v>55</v>
      </c>
    </row>
    <row r="33" spans="1:8" x14ac:dyDescent="0.3">
      <c r="A33" s="59"/>
      <c r="B33" s="59" t="s">
        <v>19</v>
      </c>
      <c r="C33" s="59" t="s">
        <v>81</v>
      </c>
      <c r="D33" s="59" t="s">
        <v>69</v>
      </c>
      <c r="E33" s="59">
        <v>260.2</v>
      </c>
      <c r="F33" s="59">
        <v>15.7</v>
      </c>
      <c r="G33" s="59">
        <v>90</v>
      </c>
      <c r="H33" s="59" t="s">
        <v>55</v>
      </c>
    </row>
    <row r="34" spans="1:8" x14ac:dyDescent="0.3">
      <c r="A34" s="59"/>
      <c r="B34" s="59" t="s">
        <v>19</v>
      </c>
      <c r="C34" s="59" t="s">
        <v>120</v>
      </c>
      <c r="D34" s="59" t="s">
        <v>69</v>
      </c>
      <c r="E34" s="59">
        <v>264.7</v>
      </c>
      <c r="F34" s="59">
        <v>18.2</v>
      </c>
      <c r="G34" s="59">
        <v>270</v>
      </c>
      <c r="H34" s="59" t="s">
        <v>55</v>
      </c>
    </row>
    <row r="35" spans="1:8" x14ac:dyDescent="0.3">
      <c r="A35" s="59"/>
      <c r="B35" s="59" t="s">
        <v>19</v>
      </c>
      <c r="C35" s="59" t="s">
        <v>119</v>
      </c>
      <c r="D35" s="59" t="s">
        <v>69</v>
      </c>
      <c r="E35" s="59">
        <v>263.2</v>
      </c>
      <c r="F35" s="59">
        <v>18.2</v>
      </c>
      <c r="G35" s="59">
        <v>270</v>
      </c>
      <c r="H35" s="59" t="s">
        <v>55</v>
      </c>
    </row>
    <row r="36" spans="1:8" x14ac:dyDescent="0.3">
      <c r="A36" s="59"/>
      <c r="B36" s="59" t="s">
        <v>19</v>
      </c>
      <c r="C36" s="59" t="s">
        <v>118</v>
      </c>
      <c r="D36" s="59" t="s">
        <v>69</v>
      </c>
      <c r="E36" s="59">
        <v>261.7</v>
      </c>
      <c r="F36" s="59">
        <v>18.2</v>
      </c>
      <c r="G36" s="59">
        <v>270</v>
      </c>
      <c r="H36" s="59" t="s">
        <v>55</v>
      </c>
    </row>
    <row r="37" spans="1:8" ht="17.25" thickBot="1" x14ac:dyDescent="0.35">
      <c r="A37" s="22"/>
      <c r="B37" s="22" t="s">
        <v>19</v>
      </c>
      <c r="C37" s="22" t="s">
        <v>117</v>
      </c>
      <c r="D37" s="22" t="s">
        <v>69</v>
      </c>
      <c r="E37" s="22">
        <v>260.2</v>
      </c>
      <c r="F37" s="22">
        <v>18.2</v>
      </c>
      <c r="G37" s="22">
        <v>270</v>
      </c>
      <c r="H37" s="22" t="s">
        <v>55</v>
      </c>
    </row>
    <row r="38" spans="1:8" ht="17.25" thickBot="1" x14ac:dyDescent="0.35">
      <c r="A38" t="s">
        <v>52</v>
      </c>
      <c r="B38" t="s">
        <v>1</v>
      </c>
      <c r="C38" t="s">
        <v>0</v>
      </c>
      <c r="D38" t="s">
        <v>69</v>
      </c>
      <c r="E38">
        <v>278.5</v>
      </c>
      <c r="F38">
        <v>17.515999999999998</v>
      </c>
      <c r="G38">
        <v>90</v>
      </c>
    </row>
    <row r="39" spans="1:8" x14ac:dyDescent="0.3">
      <c r="A39" s="57" t="s">
        <v>53</v>
      </c>
      <c r="B39" s="57" t="s">
        <v>13</v>
      </c>
      <c r="C39" s="57" t="s">
        <v>12</v>
      </c>
      <c r="D39" s="57" t="s">
        <v>69</v>
      </c>
      <c r="E39" s="57">
        <v>278.11</v>
      </c>
      <c r="F39" s="57">
        <v>36.29</v>
      </c>
      <c r="G39" s="57">
        <v>90</v>
      </c>
      <c r="H39" s="57"/>
    </row>
    <row r="40" spans="1:8" ht="17.25" thickBot="1" x14ac:dyDescent="0.35">
      <c r="A40" s="56"/>
      <c r="B40" s="60" t="s">
        <v>15</v>
      </c>
      <c r="C40" s="22" t="s">
        <v>14</v>
      </c>
      <c r="D40" s="22" t="s">
        <v>69</v>
      </c>
      <c r="E40" s="22">
        <v>72.7</v>
      </c>
      <c r="F40" s="22">
        <v>67.349999999999994</v>
      </c>
      <c r="G40" s="22">
        <v>180</v>
      </c>
      <c r="H40" s="22" t="s">
        <v>55</v>
      </c>
    </row>
    <row r="45" spans="1:8" x14ac:dyDescent="0.3">
      <c r="B45" t="s">
        <v>70</v>
      </c>
      <c r="C45">
        <v>1</v>
      </c>
      <c r="D45" t="s">
        <v>69</v>
      </c>
      <c r="E45">
        <v>0</v>
      </c>
      <c r="F45">
        <v>0</v>
      </c>
      <c r="G45">
        <v>0</v>
      </c>
    </row>
    <row r="46" spans="1:8" x14ac:dyDescent="0.3">
      <c r="B46" t="s">
        <v>68</v>
      </c>
      <c r="C46">
        <v>2</v>
      </c>
      <c r="D46" t="s">
        <v>69</v>
      </c>
      <c r="E46">
        <v>0</v>
      </c>
      <c r="F46">
        <v>0</v>
      </c>
      <c r="G46">
        <v>0</v>
      </c>
    </row>
    <row r="47" spans="1:8" x14ac:dyDescent="0.3">
      <c r="B47" t="s">
        <v>123</v>
      </c>
      <c r="C47">
        <v>3</v>
      </c>
      <c r="D47" t="s">
        <v>112</v>
      </c>
      <c r="E47">
        <v>190</v>
      </c>
      <c r="F47">
        <v>39</v>
      </c>
      <c r="G47">
        <v>270</v>
      </c>
    </row>
    <row r="48" spans="1:8" x14ac:dyDescent="0.3">
      <c r="B48" t="s">
        <v>124</v>
      </c>
      <c r="C48">
        <v>4</v>
      </c>
      <c r="D48" t="s">
        <v>69</v>
      </c>
      <c r="E48">
        <v>57.8</v>
      </c>
      <c r="F48">
        <v>78</v>
      </c>
      <c r="G48">
        <v>270</v>
      </c>
    </row>
    <row r="49" spans="2:7" x14ac:dyDescent="0.3">
      <c r="B49" t="s">
        <v>22</v>
      </c>
      <c r="C49" t="s">
        <v>71</v>
      </c>
      <c r="D49" t="s">
        <v>69</v>
      </c>
      <c r="E49">
        <v>278.5</v>
      </c>
      <c r="F49">
        <v>12</v>
      </c>
      <c r="G49">
        <v>0</v>
      </c>
    </row>
    <row r="50" spans="2:7" x14ac:dyDescent="0.3">
      <c r="B50" t="s">
        <v>22</v>
      </c>
      <c r="C50" t="s">
        <v>75</v>
      </c>
      <c r="D50" t="s">
        <v>69</v>
      </c>
      <c r="E50">
        <v>269</v>
      </c>
      <c r="F50">
        <v>21.5</v>
      </c>
      <c r="G50">
        <v>0</v>
      </c>
    </row>
    <row r="51" spans="2:7" x14ac:dyDescent="0.3">
      <c r="B51" t="s">
        <v>22</v>
      </c>
      <c r="C51" t="s">
        <v>86</v>
      </c>
      <c r="D51" t="s">
        <v>69</v>
      </c>
      <c r="E51">
        <v>258.5</v>
      </c>
      <c r="F51">
        <v>25</v>
      </c>
      <c r="G51">
        <v>90</v>
      </c>
    </row>
    <row r="52" spans="2:7" x14ac:dyDescent="0.3">
      <c r="B52" t="s">
        <v>22</v>
      </c>
      <c r="C52" t="s">
        <v>80</v>
      </c>
      <c r="D52" t="s">
        <v>69</v>
      </c>
      <c r="E52">
        <v>253</v>
      </c>
      <c r="F52">
        <v>28</v>
      </c>
      <c r="G52">
        <v>0</v>
      </c>
    </row>
    <row r="53" spans="2:7" x14ac:dyDescent="0.3">
      <c r="B53" t="s">
        <v>22</v>
      </c>
      <c r="C53" t="s">
        <v>77</v>
      </c>
      <c r="D53" t="s">
        <v>69</v>
      </c>
      <c r="E53">
        <v>253</v>
      </c>
      <c r="F53">
        <v>24.5</v>
      </c>
      <c r="G53">
        <v>0</v>
      </c>
    </row>
    <row r="54" spans="2:7" x14ac:dyDescent="0.3">
      <c r="B54" t="s">
        <v>22</v>
      </c>
      <c r="C54" t="s">
        <v>79</v>
      </c>
      <c r="D54" t="s">
        <v>69</v>
      </c>
      <c r="E54">
        <v>255</v>
      </c>
      <c r="F54">
        <v>26.5</v>
      </c>
      <c r="G54">
        <v>0</v>
      </c>
    </row>
    <row r="55" spans="2:7" x14ac:dyDescent="0.3">
      <c r="B55" t="s">
        <v>22</v>
      </c>
      <c r="C55" t="s">
        <v>91</v>
      </c>
      <c r="D55" t="s">
        <v>69</v>
      </c>
      <c r="E55">
        <v>255</v>
      </c>
      <c r="F55">
        <v>30</v>
      </c>
      <c r="G55">
        <v>90</v>
      </c>
    </row>
    <row r="56" spans="2:7" x14ac:dyDescent="0.3">
      <c r="B56" t="s">
        <v>22</v>
      </c>
      <c r="C56" t="s">
        <v>95</v>
      </c>
      <c r="D56" t="s">
        <v>69</v>
      </c>
      <c r="E56">
        <v>261</v>
      </c>
      <c r="F56">
        <v>34</v>
      </c>
      <c r="G56">
        <v>90</v>
      </c>
    </row>
    <row r="57" spans="2:7" x14ac:dyDescent="0.3">
      <c r="B57" t="s">
        <v>22</v>
      </c>
      <c r="C57" t="s">
        <v>93</v>
      </c>
      <c r="D57" t="s">
        <v>69</v>
      </c>
      <c r="E57">
        <v>259</v>
      </c>
      <c r="F57">
        <v>32</v>
      </c>
      <c r="G57">
        <v>90</v>
      </c>
    </row>
    <row r="58" spans="2:7" x14ac:dyDescent="0.3">
      <c r="B58" t="s">
        <v>22</v>
      </c>
      <c r="C58" t="s">
        <v>88</v>
      </c>
      <c r="D58" t="s">
        <v>69</v>
      </c>
      <c r="E58">
        <v>261.7</v>
      </c>
      <c r="F58">
        <v>26.5</v>
      </c>
      <c r="G58">
        <v>90</v>
      </c>
    </row>
    <row r="59" spans="2:7" x14ac:dyDescent="0.3">
      <c r="B59" t="s">
        <v>22</v>
      </c>
      <c r="C59" t="s">
        <v>94</v>
      </c>
      <c r="D59" t="s">
        <v>69</v>
      </c>
      <c r="E59">
        <v>263</v>
      </c>
      <c r="F59">
        <v>32</v>
      </c>
      <c r="G59">
        <v>90</v>
      </c>
    </row>
    <row r="60" spans="2:7" x14ac:dyDescent="0.3">
      <c r="B60" t="s">
        <v>22</v>
      </c>
      <c r="C60" t="s">
        <v>74</v>
      </c>
      <c r="D60" t="s">
        <v>69</v>
      </c>
      <c r="E60">
        <v>250</v>
      </c>
      <c r="F60">
        <v>20.5</v>
      </c>
      <c r="G60">
        <v>0</v>
      </c>
    </row>
    <row r="61" spans="2:7" x14ac:dyDescent="0.3">
      <c r="B61" t="s">
        <v>22</v>
      </c>
      <c r="C61" t="s">
        <v>78</v>
      </c>
      <c r="D61" t="s">
        <v>69</v>
      </c>
      <c r="E61">
        <v>250</v>
      </c>
      <c r="F61">
        <v>26.5</v>
      </c>
      <c r="G61">
        <v>0</v>
      </c>
    </row>
    <row r="62" spans="2:7" x14ac:dyDescent="0.3">
      <c r="B62" t="s">
        <v>22</v>
      </c>
      <c r="C62" t="s">
        <v>73</v>
      </c>
      <c r="D62" t="s">
        <v>69</v>
      </c>
      <c r="E62">
        <v>269</v>
      </c>
      <c r="F62">
        <v>16</v>
      </c>
      <c r="G62">
        <v>0</v>
      </c>
    </row>
    <row r="63" spans="2:7" x14ac:dyDescent="0.3">
      <c r="B63" t="s">
        <v>22</v>
      </c>
      <c r="C63" t="s">
        <v>76</v>
      </c>
      <c r="D63" t="s">
        <v>69</v>
      </c>
      <c r="E63">
        <v>255</v>
      </c>
      <c r="F63">
        <v>22</v>
      </c>
      <c r="G63">
        <v>0</v>
      </c>
    </row>
  </sheetData>
  <sortState xmlns:xlrd2="http://schemas.microsoft.com/office/spreadsheetml/2017/richdata2" ref="A19:H27">
    <sortCondition ref="B19:B27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8E61C-F322-41C3-B822-49D5384F8426}">
  <dimension ref="A1:H6"/>
  <sheetViews>
    <sheetView workbookViewId="0">
      <selection activeCell="H21" sqref="H21"/>
    </sheetView>
  </sheetViews>
  <sheetFormatPr defaultRowHeight="16.5" x14ac:dyDescent="0.3"/>
  <cols>
    <col min="1" max="1" width="16.625" customWidth="1"/>
    <col min="2" max="2" width="20.625" customWidth="1"/>
    <col min="8" max="8" width="14.625" customWidth="1"/>
  </cols>
  <sheetData>
    <row r="1" spans="1:8" x14ac:dyDescent="0.3">
      <c r="B1" t="s">
        <v>60</v>
      </c>
      <c r="C1" t="s">
        <v>59</v>
      </c>
      <c r="D1" t="s">
        <v>61</v>
      </c>
      <c r="E1" t="s">
        <v>62</v>
      </c>
      <c r="F1" t="s">
        <v>63</v>
      </c>
      <c r="G1" t="s">
        <v>64</v>
      </c>
    </row>
    <row r="2" spans="1:8" ht="18.75" customHeight="1" thickBot="1" x14ac:dyDescent="0.35">
      <c r="B2" t="s">
        <v>65</v>
      </c>
      <c r="C2" t="s">
        <v>65</v>
      </c>
      <c r="D2" t="s">
        <v>65</v>
      </c>
      <c r="E2" t="s">
        <v>66</v>
      </c>
      <c r="F2" t="s">
        <v>66</v>
      </c>
      <c r="G2" t="s">
        <v>67</v>
      </c>
    </row>
    <row r="3" spans="1:8" x14ac:dyDescent="0.3">
      <c r="A3" s="21" t="s">
        <v>49</v>
      </c>
      <c r="B3" s="21" t="s">
        <v>11</v>
      </c>
      <c r="C3" s="21" t="s">
        <v>114</v>
      </c>
      <c r="D3" s="21" t="s">
        <v>112</v>
      </c>
      <c r="E3" s="21">
        <v>185.92500000000001</v>
      </c>
      <c r="F3" s="21">
        <v>45.3</v>
      </c>
      <c r="G3" s="21">
        <v>180</v>
      </c>
      <c r="H3" s="21"/>
    </row>
    <row r="4" spans="1:8" ht="17.25" thickBot="1" x14ac:dyDescent="0.35">
      <c r="B4" t="s">
        <v>11</v>
      </c>
      <c r="C4" t="s">
        <v>113</v>
      </c>
      <c r="D4" t="s">
        <v>112</v>
      </c>
      <c r="E4">
        <v>193.6</v>
      </c>
      <c r="F4">
        <v>43.9</v>
      </c>
      <c r="G4">
        <v>180</v>
      </c>
    </row>
    <row r="5" spans="1:8" x14ac:dyDescent="0.3">
      <c r="A5" s="21" t="s">
        <v>53</v>
      </c>
      <c r="B5" s="21" t="s">
        <v>17</v>
      </c>
      <c r="C5" s="21" t="s">
        <v>115</v>
      </c>
      <c r="D5" s="21" t="s">
        <v>112</v>
      </c>
      <c r="E5" s="21">
        <v>190</v>
      </c>
      <c r="F5" s="21">
        <v>50</v>
      </c>
      <c r="G5" s="21">
        <v>180</v>
      </c>
      <c r="H5" s="21"/>
    </row>
    <row r="6" spans="1:8" ht="17.25" thickBot="1" x14ac:dyDescent="0.35">
      <c r="A6" s="56"/>
      <c r="B6" s="56" t="s">
        <v>17</v>
      </c>
      <c r="C6" s="56" t="s">
        <v>111</v>
      </c>
      <c r="D6" s="56" t="s">
        <v>112</v>
      </c>
      <c r="E6" s="56">
        <v>190</v>
      </c>
      <c r="F6" s="56">
        <v>28</v>
      </c>
      <c r="G6" s="56">
        <v>180</v>
      </c>
      <c r="H6" s="56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H25-128-1_MILTESTONE_HOME_IOT_D</vt:lpstr>
      <vt:lpstr>TOP</vt:lpstr>
      <vt:lpstr>BOTTOM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이재형</cp:lastModifiedBy>
  <dcterms:created xsi:type="dcterms:W3CDTF">2025-11-05T06:42:29Z</dcterms:created>
  <dcterms:modified xsi:type="dcterms:W3CDTF">2025-11-11T02:10:48Z</dcterms:modified>
</cp:coreProperties>
</file>